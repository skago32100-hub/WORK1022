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특강자료2026\20261020_해군정비창2차교육\교안\자료\"/>
    </mc:Choice>
  </mc:AlternateContent>
  <xr:revisionPtr revIDLastSave="0" documentId="13_ncr:1_{F43DAEB3-04C1-4689-B70C-7A2DF21943E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중점사업_억원단위_추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2" l="1"/>
  <c r="G22" i="2"/>
  <c r="G21" i="2"/>
  <c r="H20" i="2"/>
  <c r="G20" i="2"/>
  <c r="H19" i="2"/>
  <c r="G19" i="2"/>
  <c r="H18" i="2"/>
  <c r="G18" i="2"/>
  <c r="H17" i="2"/>
  <c r="G17" i="2"/>
  <c r="G16" i="2"/>
  <c r="G15" i="2"/>
  <c r="H14" i="2"/>
  <c r="G14" i="2"/>
  <c r="G13" i="2"/>
  <c r="G12" i="2"/>
  <c r="H11" i="2"/>
  <c r="G11" i="2"/>
  <c r="G10" i="2"/>
  <c r="H9" i="2"/>
  <c r="G9" i="2"/>
  <c r="H8" i="2"/>
  <c r="G8" i="2"/>
  <c r="H7" i="2"/>
  <c r="G7" i="2"/>
  <c r="G6" i="2"/>
  <c r="H5" i="2"/>
  <c r="G5" i="2"/>
  <c r="H4" i="2"/>
  <c r="G4" i="2"/>
  <c r="H3" i="2"/>
  <c r="G3" i="2"/>
  <c r="H2" i="2"/>
  <c r="G2" i="2"/>
</calcChain>
</file>

<file path=xl/sharedStrings.xml><?xml version="1.0" encoding="utf-8"?>
<sst xmlns="http://schemas.openxmlformats.org/spreadsheetml/2006/main" count="106" uniqueCount="63">
  <si>
    <t>연번</t>
  </si>
  <si>
    <t>증감 (B-A)</t>
  </si>
  <si>
    <t>증가율 (%)</t>
  </si>
  <si>
    <t>분야 (중점영역)</t>
  </si>
  <si>
    <t>세부 사업 / 주요 지표</t>
  </si>
  <si>
    <t>구분/단위</t>
  </si>
  <si>
    <t>2026년 (A)</t>
  </si>
  <si>
    <t>2027년 정부안 (B)</t>
  </si>
  <si>
    <t>핵심 내용 및 보도자료 박스 원문 근거</t>
  </si>
  <si>
    <t>① 자주국방 &amp; 전작권 전환</t>
  </si>
  <si>
    <t>전작권 전환 및 자주국방 핵심전력 확보</t>
  </si>
  <si>
    <t>억원</t>
  </si>
  <si>
    <t>전작권 전환 및 자주국방 예산 34.9% 대폭 증액 (KF-21 양산, 핵추진잠수함 착수, L-SAM 등)</t>
  </si>
  <si>
    <t>② 효율적 군 인력구조 전환</t>
  </si>
  <si>
    <t>상비예비군 운영 예산</t>
  </si>
  <si>
    <t>평시 추가훈련을 통한 전시 즉각 전투력 발휘 보장 (+169억원 증액)</t>
  </si>
  <si>
    <t>예비군 훈련비 총예산</t>
  </si>
  <si>
    <t>’30년까지 최저시급 수준 지급 목표 단계적 인상 (+215억원, +31.3%)</t>
  </si>
  <si>
    <t>③ AI·유무인 복합체계(MUM-T)</t>
  </si>
  <si>
    <t>AI·유무인 복합체계 총예산</t>
  </si>
  <si>
    <t>첨단 유·무인 복합체계 전환 집중 투자 (+2,759억원, +55.5%)</t>
  </si>
  <si>
    <t>피지컬 AI 실증사업</t>
  </si>
  <si>
    <t>신규</t>
  </si>
  <si>
    <t>[신규 430억원] 수송·주둔지 경계·위험물 취급 등 병력절감 효과 큰 분야 실증</t>
  </si>
  <si>
    <t>④ 드론 / 대드론 역량강화</t>
  </si>
  <si>
    <t>드론·대드론 역량강화 예산</t>
  </si>
  <si>
    <t>공격형 드론 확충 및 다층 대드론 방어체계 고도화 (+1,273억원, +18.8%)</t>
  </si>
  <si>
    <t>50만 드론전사 양성 교육훈련</t>
  </si>
  <si>
    <t>교육용 상용드론, 시뮬레이터 및 대드론 교육장비 대폭 확충 (+475억원, +160.5%)</t>
  </si>
  <si>
    <t>⑤ 장병 복무여건 &amp; 간부 처우</t>
  </si>
  <si>
    <t>부사관 단기복무장려금 총예산</t>
  </si>
  <si>
    <t>지원 인원 확대 및 단가 인상 반영 (+620.5억원, +116.7%)</t>
  </si>
  <si>
    <t>단기복무 부사관 적금 매칭지원금</t>
  </si>
  <si>
    <t>[신규 189억원] 기술집약형 부사관 육성, 월 최대 30만원(3년 만기) 정부 매칭</t>
  </si>
  <si>
    <t>간부 전세자금 지원단가 (관사 기준)</t>
  </si>
  <si>
    <t>중위 전세가의 84% 수준으로 인상 (+6.2%)</t>
  </si>
  <si>
    <t>간부숙소 미입주자 전세자금 지원</t>
  </si>
  <si>
    <t>[신규 지원] 숙소 미배정 간부 1,054명 대상 전세자금 신규 지원</t>
  </si>
  <si>
    <t>병사 단체상해보험 도입</t>
  </si>
  <si>
    <t>[신규 69억원] 군 복무 중 부상 시 합당한 보상을 위한 단체보험 ('27년 하반기)</t>
  </si>
  <si>
    <t>⑥ 미래 국방기술 주권 확보</t>
  </si>
  <si>
    <t>국방반도체 R&amp;D 기술개발</t>
  </si>
  <si>
    <t>[신규 R&amp;D 565억원] 국방반도체법 시행에 따른 무기체계 맞춤형 반도체 자립</t>
  </si>
  <si>
    <t>한국형 첨단항공추진체계(엔진)</t>
  </si>
  <si>
    <t>[신규 90억원] 무인전투기용 엔진(20억) + 첨단엔진 기반기술(70억)</t>
  </si>
  <si>
    <t>고출력 레이저 하드킬 기술</t>
  </si>
  <si>
    <t>[신규 121억원] 첨단 지향성에너지 하드킬 요격 핵심기술 확보</t>
  </si>
  <si>
    <t>⑦ 방산 생태계 &amp; 중소기업 육성</t>
  </si>
  <si>
    <t>K-방산 스타트업 발굴·육성</t>
  </si>
  <si>
    <t>민간 혁신 기술기업의 방산 진입 전주기 패키지 지원 확대 (+129.6%)</t>
  </si>
  <si>
    <t>방산혁신기업 지원 예산</t>
  </si>
  <si>
    <t>첨단 전략산업 개편 및 방산혁신기업 100개 → 200개로 확대 (+15.0%)</t>
  </si>
  <si>
    <t>중소기업 기술 軍 실증시험 지원</t>
  </si>
  <si>
    <t>중소기업 개발품의 군 환경 실증 및 성능검증 대폭 확대 (+123.1%)</t>
  </si>
  <si>
    <t>중소기업 수출 패키지 지원</t>
  </si>
  <si>
    <t>해외 시장 개척, 마케팅, 글로벌 공급망 진입 패키지 지원 (+22.5%)</t>
  </si>
  <si>
    <t>⑧ 국민체감형 병무서비스</t>
  </si>
  <si>
    <t>생성형 AI 병무상담 챗봇 구축</t>
  </si>
  <si>
    <t>[신규 19억원] RAG 및 AI 에이전트 기반의 24시간 원스톱 맞춤형 행정</t>
  </si>
  <si>
    <t>병무청 동원훈련 통합관리시스템</t>
  </si>
  <si>
    <t>[신규 14억원] 국방부-병무청 이원화된 동원훈련 행정업무 병무청 일원화</t>
  </si>
  <si>
    <t>국외체류자 입영·소집 항공여비</t>
  </si>
  <si>
    <t>[신규 6억원] 재외국민 병역이행 지원을 위한 국내 입국 편도항공료 신규 지원(약 400명)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</si>
</sst>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>
      <selection activeCell="E9" sqref="E9"/>
    </sheetView>
  </sheetViews>
  <sheetFormatPr defaultRowHeight="17.600000000000001" x14ac:dyDescent="0.55000000000000004"/>
  <cols>
    <col min="1" max="1" width="8" customWidth="1"/>
    <col min="2" max="2" width="24" customWidth="1"/>
    <col min="3" max="3" width="32" customWidth="1"/>
    <col min="4" max="4" width="12" customWidth="1"/>
    <col min="5" max="5" width="16" customWidth="1"/>
    <col min="6" max="6" width="18" customWidth="1"/>
    <col min="7" max="7" width="16" customWidth="1"/>
    <col min="8" max="8" width="14" customWidth="1"/>
    <col min="9" max="9" width="58" customWidth="1"/>
  </cols>
  <sheetData>
    <row r="1" spans="1:9" ht="26.05" customHeight="1" x14ac:dyDescent="0.5500000000000000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8</v>
      </c>
    </row>
    <row r="2" spans="1:9" ht="23.05" customHeight="1" x14ac:dyDescent="0.55000000000000004">
      <c r="A2" s="2">
        <v>1</v>
      </c>
      <c r="B2" s="3" t="s">
        <v>9</v>
      </c>
      <c r="C2" s="3" t="s">
        <v>10</v>
      </c>
      <c r="D2" s="2" t="s">
        <v>11</v>
      </c>
      <c r="E2" s="4">
        <v>90222</v>
      </c>
      <c r="F2" s="4">
        <v>121744</v>
      </c>
      <c r="G2" s="4">
        <f t="shared" ref="G2:G23" si="0">F2-E2</f>
        <v>31522</v>
      </c>
      <c r="H2" s="5">
        <f>(F2-E2)/E2</f>
        <v>0.34938263394737423</v>
      </c>
      <c r="I2" s="3" t="s">
        <v>12</v>
      </c>
    </row>
    <row r="3" spans="1:9" ht="23.05" customHeight="1" x14ac:dyDescent="0.55000000000000004">
      <c r="A3" s="6">
        <v>2</v>
      </c>
      <c r="B3" s="7" t="s">
        <v>13</v>
      </c>
      <c r="C3" s="7" t="s">
        <v>14</v>
      </c>
      <c r="D3" s="6" t="s">
        <v>11</v>
      </c>
      <c r="E3" s="8">
        <v>87</v>
      </c>
      <c r="F3" s="8">
        <v>256</v>
      </c>
      <c r="G3" s="8">
        <f t="shared" si="0"/>
        <v>169</v>
      </c>
      <c r="H3" s="9">
        <f>(F3-E3)/E3</f>
        <v>1.9425287356321839</v>
      </c>
      <c r="I3" s="7" t="s">
        <v>15</v>
      </c>
    </row>
    <row r="4" spans="1:9" ht="23.05" customHeight="1" x14ac:dyDescent="0.55000000000000004">
      <c r="A4" s="2">
        <v>3</v>
      </c>
      <c r="B4" s="3" t="s">
        <v>13</v>
      </c>
      <c r="C4" s="3" t="s">
        <v>16</v>
      </c>
      <c r="D4" s="2" t="s">
        <v>11</v>
      </c>
      <c r="E4" s="4">
        <v>688</v>
      </c>
      <c r="F4" s="4">
        <v>903</v>
      </c>
      <c r="G4" s="4">
        <f t="shared" si="0"/>
        <v>215</v>
      </c>
      <c r="H4" s="5">
        <f>(F4-E4)/E4</f>
        <v>0.3125</v>
      </c>
      <c r="I4" s="3" t="s">
        <v>17</v>
      </c>
    </row>
    <row r="5" spans="1:9" ht="23.05" customHeight="1" x14ac:dyDescent="0.55000000000000004">
      <c r="A5" s="6">
        <v>4</v>
      </c>
      <c r="B5" s="7" t="s">
        <v>18</v>
      </c>
      <c r="C5" s="7" t="s">
        <v>19</v>
      </c>
      <c r="D5" s="6" t="s">
        <v>11</v>
      </c>
      <c r="E5" s="8">
        <v>4968</v>
      </c>
      <c r="F5" s="8">
        <v>7727</v>
      </c>
      <c r="G5" s="8">
        <f t="shared" si="0"/>
        <v>2759</v>
      </c>
      <c r="H5" s="9">
        <f>(F5-E5)/E5</f>
        <v>0.55535426731078907</v>
      </c>
      <c r="I5" s="7" t="s">
        <v>20</v>
      </c>
    </row>
    <row r="6" spans="1:9" ht="23.05" customHeight="1" x14ac:dyDescent="0.55000000000000004">
      <c r="A6" s="10">
        <v>5</v>
      </c>
      <c r="B6" s="11" t="s">
        <v>18</v>
      </c>
      <c r="C6" s="11" t="s">
        <v>21</v>
      </c>
      <c r="D6" s="10" t="s">
        <v>11</v>
      </c>
      <c r="E6" s="12">
        <v>0</v>
      </c>
      <c r="F6" s="12">
        <v>430</v>
      </c>
      <c r="G6" s="12">
        <f t="shared" si="0"/>
        <v>430</v>
      </c>
      <c r="H6" s="10" t="s">
        <v>22</v>
      </c>
      <c r="I6" s="11" t="s">
        <v>23</v>
      </c>
    </row>
    <row r="7" spans="1:9" ht="23.05" customHeight="1" x14ac:dyDescent="0.55000000000000004">
      <c r="A7" s="6">
        <v>6</v>
      </c>
      <c r="B7" s="7" t="s">
        <v>24</v>
      </c>
      <c r="C7" s="7" t="s">
        <v>25</v>
      </c>
      <c r="D7" s="6" t="s">
        <v>11</v>
      </c>
      <c r="E7" s="8">
        <v>6788</v>
      </c>
      <c r="F7" s="8">
        <v>8061</v>
      </c>
      <c r="G7" s="8">
        <f t="shared" si="0"/>
        <v>1273</v>
      </c>
      <c r="H7" s="9">
        <f>(F7-E7)/E7</f>
        <v>0.18753682969946966</v>
      </c>
      <c r="I7" s="7" t="s">
        <v>26</v>
      </c>
    </row>
    <row r="8" spans="1:9" ht="23.05" customHeight="1" x14ac:dyDescent="0.55000000000000004">
      <c r="A8" s="2">
        <v>7</v>
      </c>
      <c r="B8" s="3" t="s">
        <v>24</v>
      </c>
      <c r="C8" s="3" t="s">
        <v>27</v>
      </c>
      <c r="D8" s="2" t="s">
        <v>11</v>
      </c>
      <c r="E8" s="4">
        <v>296</v>
      </c>
      <c r="F8" s="4">
        <v>771</v>
      </c>
      <c r="G8" s="4">
        <f t="shared" si="0"/>
        <v>475</v>
      </c>
      <c r="H8" s="5">
        <f>(F8-E8)/E8</f>
        <v>1.6047297297297298</v>
      </c>
      <c r="I8" s="3" t="s">
        <v>28</v>
      </c>
    </row>
    <row r="9" spans="1:9" ht="23.05" customHeight="1" x14ac:dyDescent="0.55000000000000004">
      <c r="A9" s="6">
        <v>8</v>
      </c>
      <c r="B9" s="7" t="s">
        <v>29</v>
      </c>
      <c r="C9" s="7" t="s">
        <v>30</v>
      </c>
      <c r="D9" s="6" t="s">
        <v>11</v>
      </c>
      <c r="E9" s="14">
        <v>531.5</v>
      </c>
      <c r="F9" s="14">
        <v>1152</v>
      </c>
      <c r="G9" s="14">
        <f t="shared" si="0"/>
        <v>620.5</v>
      </c>
      <c r="H9" s="9">
        <f>(F9-E9)/E9</f>
        <v>1.1674506114769521</v>
      </c>
      <c r="I9" s="7" t="s">
        <v>31</v>
      </c>
    </row>
    <row r="10" spans="1:9" ht="23.05" customHeight="1" x14ac:dyDescent="0.55000000000000004">
      <c r="A10" s="10">
        <v>9</v>
      </c>
      <c r="B10" s="11" t="s">
        <v>29</v>
      </c>
      <c r="C10" s="11" t="s">
        <v>32</v>
      </c>
      <c r="D10" s="10" t="s">
        <v>11</v>
      </c>
      <c r="E10" s="12">
        <v>0</v>
      </c>
      <c r="F10" s="12">
        <v>189</v>
      </c>
      <c r="G10" s="12">
        <f t="shared" si="0"/>
        <v>189</v>
      </c>
      <c r="H10" s="10" t="s">
        <v>22</v>
      </c>
      <c r="I10" s="11" t="s">
        <v>33</v>
      </c>
    </row>
    <row r="11" spans="1:9" ht="23.05" customHeight="1" x14ac:dyDescent="0.55000000000000004">
      <c r="A11" s="6">
        <v>10</v>
      </c>
      <c r="B11" s="7" t="s">
        <v>29</v>
      </c>
      <c r="C11" s="7" t="s">
        <v>34</v>
      </c>
      <c r="D11" s="6" t="s">
        <v>11</v>
      </c>
      <c r="E11" s="15">
        <v>2.11</v>
      </c>
      <c r="F11" s="15">
        <v>2.2400000000000002</v>
      </c>
      <c r="G11" s="15">
        <f t="shared" si="0"/>
        <v>0.13000000000000034</v>
      </c>
      <c r="H11" s="9">
        <f>(F11-E11)/E11</f>
        <v>6.1611374407583103E-2</v>
      </c>
      <c r="I11" s="7" t="s">
        <v>35</v>
      </c>
    </row>
    <row r="12" spans="1:9" ht="23.05" customHeight="1" x14ac:dyDescent="0.55000000000000004">
      <c r="A12" s="10">
        <v>11</v>
      </c>
      <c r="B12" s="11" t="s">
        <v>29</v>
      </c>
      <c r="C12" s="11" t="s">
        <v>36</v>
      </c>
      <c r="D12" s="10" t="s">
        <v>11</v>
      </c>
      <c r="E12" s="16">
        <v>0</v>
      </c>
      <c r="F12" s="16">
        <v>1.05</v>
      </c>
      <c r="G12" s="16">
        <f t="shared" si="0"/>
        <v>1.05</v>
      </c>
      <c r="H12" s="10" t="s">
        <v>22</v>
      </c>
      <c r="I12" s="11" t="s">
        <v>37</v>
      </c>
    </row>
    <row r="13" spans="1:9" ht="23.05" customHeight="1" x14ac:dyDescent="0.55000000000000004">
      <c r="A13" s="10">
        <v>12</v>
      </c>
      <c r="B13" s="11" t="s">
        <v>29</v>
      </c>
      <c r="C13" s="11" t="s">
        <v>38</v>
      </c>
      <c r="D13" s="10" t="s">
        <v>11</v>
      </c>
      <c r="E13" s="12">
        <v>0</v>
      </c>
      <c r="F13" s="12">
        <v>69</v>
      </c>
      <c r="G13" s="12">
        <f t="shared" si="0"/>
        <v>69</v>
      </c>
      <c r="H13" s="10" t="s">
        <v>22</v>
      </c>
      <c r="I13" s="11" t="s">
        <v>39</v>
      </c>
    </row>
    <row r="14" spans="1:9" ht="23.05" customHeight="1" x14ac:dyDescent="0.55000000000000004">
      <c r="A14" s="10">
        <v>13</v>
      </c>
      <c r="B14" s="11" t="s">
        <v>40</v>
      </c>
      <c r="C14" s="11" t="s">
        <v>41</v>
      </c>
      <c r="D14" s="10" t="s">
        <v>11</v>
      </c>
      <c r="E14" s="12">
        <v>132</v>
      </c>
      <c r="F14" s="12">
        <v>565</v>
      </c>
      <c r="G14" s="12">
        <f t="shared" si="0"/>
        <v>433</v>
      </c>
      <c r="H14" s="13">
        <f>(F14-E14)/E14</f>
        <v>3.2803030303030303</v>
      </c>
      <c r="I14" s="11" t="s">
        <v>42</v>
      </c>
    </row>
    <row r="15" spans="1:9" ht="23.05" customHeight="1" x14ac:dyDescent="0.55000000000000004">
      <c r="A15" s="10">
        <v>14</v>
      </c>
      <c r="B15" s="11" t="s">
        <v>40</v>
      </c>
      <c r="C15" s="11" t="s">
        <v>43</v>
      </c>
      <c r="D15" s="10" t="s">
        <v>11</v>
      </c>
      <c r="E15" s="12">
        <v>0</v>
      </c>
      <c r="F15" s="12">
        <v>90</v>
      </c>
      <c r="G15" s="12">
        <f t="shared" si="0"/>
        <v>90</v>
      </c>
      <c r="H15" s="10" t="s">
        <v>22</v>
      </c>
      <c r="I15" s="11" t="s">
        <v>44</v>
      </c>
    </row>
    <row r="16" spans="1:9" ht="23.05" customHeight="1" x14ac:dyDescent="0.55000000000000004">
      <c r="A16" s="10">
        <v>15</v>
      </c>
      <c r="B16" s="11" t="s">
        <v>40</v>
      </c>
      <c r="C16" s="11" t="s">
        <v>45</v>
      </c>
      <c r="D16" s="10" t="s">
        <v>11</v>
      </c>
      <c r="E16" s="12">
        <v>0</v>
      </c>
      <c r="F16" s="12">
        <v>121</v>
      </c>
      <c r="G16" s="12">
        <f t="shared" si="0"/>
        <v>121</v>
      </c>
      <c r="H16" s="10" t="s">
        <v>22</v>
      </c>
      <c r="I16" s="11" t="s">
        <v>46</v>
      </c>
    </row>
    <row r="17" spans="1:9" ht="23.05" customHeight="1" x14ac:dyDescent="0.55000000000000004">
      <c r="A17" s="6">
        <v>16</v>
      </c>
      <c r="B17" s="7" t="s">
        <v>47</v>
      </c>
      <c r="C17" s="7" t="s">
        <v>48</v>
      </c>
      <c r="D17" s="6" t="s">
        <v>11</v>
      </c>
      <c r="E17" s="8">
        <v>54</v>
      </c>
      <c r="F17" s="8">
        <v>124</v>
      </c>
      <c r="G17" s="8">
        <f t="shared" si="0"/>
        <v>70</v>
      </c>
      <c r="H17" s="9">
        <f>(F17-E17)/E17</f>
        <v>1.2962962962962963</v>
      </c>
      <c r="I17" s="7" t="s">
        <v>49</v>
      </c>
    </row>
    <row r="18" spans="1:9" ht="23.05" customHeight="1" x14ac:dyDescent="0.55000000000000004">
      <c r="A18" s="2">
        <v>17</v>
      </c>
      <c r="B18" s="3" t="s">
        <v>47</v>
      </c>
      <c r="C18" s="3" t="s">
        <v>50</v>
      </c>
      <c r="D18" s="2" t="s">
        <v>11</v>
      </c>
      <c r="E18" s="4">
        <v>659</v>
      </c>
      <c r="F18" s="4">
        <v>758</v>
      </c>
      <c r="G18" s="4">
        <f t="shared" si="0"/>
        <v>99</v>
      </c>
      <c r="H18" s="5">
        <f>(F18-E18)/E18</f>
        <v>0.15022761760242792</v>
      </c>
      <c r="I18" s="3" t="s">
        <v>51</v>
      </c>
    </row>
    <row r="19" spans="1:9" ht="23.05" customHeight="1" x14ac:dyDescent="0.55000000000000004">
      <c r="A19" s="6">
        <v>18</v>
      </c>
      <c r="B19" s="7" t="s">
        <v>47</v>
      </c>
      <c r="C19" s="7" t="s">
        <v>52</v>
      </c>
      <c r="D19" s="6" t="s">
        <v>11</v>
      </c>
      <c r="E19" s="8">
        <v>78</v>
      </c>
      <c r="F19" s="8">
        <v>174</v>
      </c>
      <c r="G19" s="8">
        <f t="shared" si="0"/>
        <v>96</v>
      </c>
      <c r="H19" s="9">
        <f>(F19-E19)/E19</f>
        <v>1.2307692307692308</v>
      </c>
      <c r="I19" s="7" t="s">
        <v>53</v>
      </c>
    </row>
    <row r="20" spans="1:9" ht="23.05" customHeight="1" x14ac:dyDescent="0.55000000000000004">
      <c r="A20" s="2">
        <v>19</v>
      </c>
      <c r="B20" s="3" t="s">
        <v>47</v>
      </c>
      <c r="C20" s="3" t="s">
        <v>54</v>
      </c>
      <c r="D20" s="2" t="s">
        <v>11</v>
      </c>
      <c r="E20" s="4">
        <v>512</v>
      </c>
      <c r="F20" s="4">
        <v>627</v>
      </c>
      <c r="G20" s="4">
        <f t="shared" si="0"/>
        <v>115</v>
      </c>
      <c r="H20" s="5">
        <f>(F20-E20)/E20</f>
        <v>0.224609375</v>
      </c>
      <c r="I20" s="3" t="s">
        <v>55</v>
      </c>
    </row>
    <row r="21" spans="1:9" ht="23.05" customHeight="1" x14ac:dyDescent="0.55000000000000004">
      <c r="A21" s="10">
        <v>20</v>
      </c>
      <c r="B21" s="11" t="s">
        <v>56</v>
      </c>
      <c r="C21" s="11" t="s">
        <v>57</v>
      </c>
      <c r="D21" s="10" t="s">
        <v>11</v>
      </c>
      <c r="E21" s="12">
        <v>0</v>
      </c>
      <c r="F21" s="12">
        <v>19</v>
      </c>
      <c r="G21" s="12">
        <f t="shared" si="0"/>
        <v>19</v>
      </c>
      <c r="H21" s="10" t="s">
        <v>22</v>
      </c>
      <c r="I21" s="11" t="s">
        <v>58</v>
      </c>
    </row>
    <row r="22" spans="1:9" ht="23.05" customHeight="1" x14ac:dyDescent="0.55000000000000004">
      <c r="A22" s="10">
        <v>21</v>
      </c>
      <c r="B22" s="11" t="s">
        <v>56</v>
      </c>
      <c r="C22" s="11" t="s">
        <v>59</v>
      </c>
      <c r="D22" s="10" t="s">
        <v>11</v>
      </c>
      <c r="E22" s="12">
        <v>0</v>
      </c>
      <c r="F22" s="12">
        <v>14</v>
      </c>
      <c r="G22" s="12">
        <f t="shared" si="0"/>
        <v>14</v>
      </c>
      <c r="H22" s="10" t="s">
        <v>22</v>
      </c>
      <c r="I22" s="11" t="s">
        <v>60</v>
      </c>
    </row>
    <row r="23" spans="1:9" ht="23.05" customHeight="1" x14ac:dyDescent="0.55000000000000004">
      <c r="A23" s="10">
        <v>22</v>
      </c>
      <c r="B23" s="11" t="s">
        <v>56</v>
      </c>
      <c r="C23" s="11" t="s">
        <v>61</v>
      </c>
      <c r="D23" s="10" t="s">
        <v>11</v>
      </c>
      <c r="E23" s="12">
        <v>0</v>
      </c>
      <c r="F23" s="12">
        <v>6</v>
      </c>
      <c r="G23" s="12">
        <f t="shared" si="0"/>
        <v>6</v>
      </c>
      <c r="H23" s="10" t="s">
        <v>22</v>
      </c>
      <c r="I23" s="11" t="s">
        <v>62</v>
      </c>
    </row>
  </sheetData>
  <phoneticPr fontId="3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중점사업_억원단위_추출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김경민</cp:lastModifiedBy>
  <dcterms:created xsi:type="dcterms:W3CDTF">2026-10-19T13:33:48Z</dcterms:created>
  <dcterms:modified xsi:type="dcterms:W3CDTF">2026-10-19T13:53:08Z</dcterms:modified>
</cp:coreProperties>
</file>